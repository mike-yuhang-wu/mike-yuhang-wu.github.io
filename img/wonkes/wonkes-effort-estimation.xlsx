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Estimation Tasks" sheetId="1" r:id="rId4"/>
    <sheet state="visible" name="Team Effort Experience" sheetId="2" r:id="rId5"/>
  </sheets>
  <definedNames/>
  <calcPr/>
</workbook>
</file>

<file path=xl/sharedStrings.xml><?xml version="1.0" encoding="utf-8"?>
<sst xmlns="http://schemas.openxmlformats.org/spreadsheetml/2006/main" count="304" uniqueCount="166">
  <si>
    <t>Task Number (M1)</t>
  </si>
  <si>
    <t>Summary of tasks</t>
  </si>
  <si>
    <t>Estiamte (hours)</t>
  </si>
  <si>
    <t>Coding Effort (hours)</t>
  </si>
  <si>
    <t>Non-Coding Effort (hours)</t>
  </si>
  <si>
    <t>Implementors</t>
  </si>
  <si>
    <t>Estimator:</t>
  </si>
  <si>
    <t>1 (M1)</t>
  </si>
  <si>
    <r>
      <rPr>
        <color rgb="FF1155CC"/>
        <u/>
      </rPr>
      <t>Edit Home Page</t>
    </r>
  </si>
  <si>
    <t>Brian Kim, Joshua Omori</t>
  </si>
  <si>
    <t>1 (Brian), 2 (Josh)</t>
  </si>
  <si>
    <t>2 (M1)</t>
  </si>
  <si>
    <r>
      <rPr>
        <color rgb="FF1155CC"/>
        <u/>
      </rPr>
      <t>Edit Login, Sign up, and Change Password Page</t>
    </r>
  </si>
  <si>
    <t>Darilyn Evangelista, Brian Kim</t>
  </si>
  <si>
    <t>4 (Brian), 2.5 (Darilyn)</t>
  </si>
  <si>
    <t>3 (M1)</t>
  </si>
  <si>
    <r>
      <rPr>
        <color rgb="FF1155CC"/>
        <u/>
      </rPr>
      <t>Add My Store Page</t>
    </r>
  </si>
  <si>
    <t>Andrew Narciso, Yuhang Wu</t>
  </si>
  <si>
    <t>Andrew Narciso</t>
  </si>
  <si>
    <t>4 (M1)</t>
  </si>
  <si>
    <r>
      <rPr>
        <color rgb="FF1155CC"/>
        <u/>
      </rPr>
      <t>Add the Merch Detail Page</t>
    </r>
  </si>
  <si>
    <t>Yuhang Wu</t>
  </si>
  <si>
    <t>5 (M1)</t>
  </si>
  <si>
    <r>
      <rPr>
        <color rgb="FF1155CC"/>
        <u/>
      </rPr>
      <t>Add User Landing Page</t>
    </r>
  </si>
  <si>
    <t>Brian Kim, Yuhang Wu</t>
  </si>
  <si>
    <t>0.25 (Brian)</t>
  </si>
  <si>
    <t>6 (M1)</t>
  </si>
  <si>
    <r>
      <rPr>
        <color rgb="FF1155CC"/>
        <u/>
      </rPr>
      <t>Add Admin's Home Page</t>
    </r>
  </si>
  <si>
    <t>7 (M1)</t>
  </si>
  <si>
    <r>
      <rPr>
        <color rgb="FF1155CC"/>
        <u/>
      </rPr>
      <t>Design and set up a database.</t>
    </r>
  </si>
  <si>
    <t>8 (M1)</t>
  </si>
  <si>
    <t>Edit Footer and Header</t>
  </si>
  <si>
    <t>9 (M1)</t>
  </si>
  <si>
    <r>
      <rPr>
        <color rgb="FF1155CC"/>
        <u/>
      </rPr>
      <t>Add Support Page</t>
    </r>
  </si>
  <si>
    <t>Joshua Omori</t>
  </si>
  <si>
    <t>10 (M1)</t>
  </si>
  <si>
    <r>
      <rPr>
        <color rgb="FF1155CC"/>
        <u/>
      </rPr>
      <t>Edit the Logout Page</t>
    </r>
  </si>
  <si>
    <t>11 (M1)</t>
  </si>
  <si>
    <r>
      <rPr>
        <color rgb="FF1155CC"/>
        <u/>
      </rPr>
      <t>Add the Add Merch Page</t>
    </r>
  </si>
  <si>
    <t>12 (M1)</t>
  </si>
  <si>
    <r>
      <rPr>
        <color rgb="FF1155CC"/>
        <u/>
      </rPr>
      <t>Add View Listing</t>
    </r>
  </si>
  <si>
    <t>13 (M1)</t>
  </si>
  <si>
    <r>
      <rPr>
        <color rgb="FF1155CC"/>
        <u/>
      </rPr>
      <t>Implement notification for login authentication result</t>
    </r>
  </si>
  <si>
    <t>14 (M1)</t>
  </si>
  <si>
    <r>
      <rPr>
        <color rgb="FF1155CC"/>
        <u/>
      </rPr>
      <t>Design an icon for Wonkes</t>
    </r>
  </si>
  <si>
    <t>15 (M1)</t>
  </si>
  <si>
    <r>
      <rPr>
        <color rgb="FF1155CC"/>
        <u/>
      </rPr>
      <t>Edit the Merch Detail Page</t>
    </r>
  </si>
  <si>
    <t>16 (M1)</t>
  </si>
  <si>
    <r>
      <rPr>
        <color rgb="FF1155CC"/>
        <u/>
      </rPr>
      <t>Edit Merch Photo Storage</t>
    </r>
  </si>
  <si>
    <t>17 (M1)</t>
  </si>
  <si>
    <r>
      <rPr>
        <color rgb="FF1155CC"/>
        <u/>
      </rPr>
      <t>Create card that will be used for listings</t>
    </r>
  </si>
  <si>
    <t>18 (M1)</t>
  </si>
  <si>
    <r>
      <rPr>
        <color rgb="FF1155CC"/>
        <u/>
      </rPr>
      <t>Migrate Login Credential System</t>
    </r>
  </si>
  <si>
    <t>19 (M1)</t>
  </si>
  <si>
    <r>
      <rPr>
        <color rgb="FF1155CC"/>
        <u/>
      </rPr>
      <t>Fix and improve previous merges to the main branch</t>
    </r>
  </si>
  <si>
    <t>20 (M1)</t>
  </si>
  <si>
    <r>
      <rPr>
        <color rgb="FF1155CC"/>
        <u/>
      </rPr>
      <t>Deploy to Vercel</t>
    </r>
  </si>
  <si>
    <t>21 (M1)</t>
  </si>
  <si>
    <r>
      <rPr>
        <color rgb="FF1155CC"/>
        <u/>
      </rPr>
      <t>Add Image Preview for the Add Merch Page</t>
    </r>
  </si>
  <si>
    <t>22 (M1)</t>
  </si>
  <si>
    <r>
      <rPr>
        <color rgb="FF1155CC"/>
        <u/>
      </rPr>
      <t>Innovate the Add Merch Page</t>
    </r>
  </si>
  <si>
    <t>23 (M1)</t>
  </si>
  <si>
    <r>
      <rPr>
        <color rgb="FF1155CC"/>
        <u/>
      </rPr>
      <t>Final Touch Ups for M1</t>
    </r>
  </si>
  <si>
    <t>24 (M1)</t>
  </si>
  <si>
    <r>
      <rPr>
        <color rgb="FF1155CC"/>
        <u/>
      </rPr>
      <t>Edit Navbar</t>
    </r>
  </si>
  <si>
    <t>25 (M1)</t>
  </si>
  <si>
    <r>
      <rPr>
        <color rgb="FF1155CC"/>
        <u/>
      </rPr>
      <t>Fix Wrong GitHub Repo Name</t>
    </r>
  </si>
  <si>
    <t>26 (M1)</t>
  </si>
  <si>
    <r>
      <rPr>
        <color rgb="FF1155CC"/>
        <u/>
      </rPr>
      <t>Delete My Page</t>
    </r>
  </si>
  <si>
    <t>27 (M1)</t>
  </si>
  <si>
    <r>
      <rPr>
        <color rgb="FF1155CC"/>
        <u/>
      </rPr>
      <t>Improve Add Merch Form</t>
    </r>
  </si>
  <si>
    <t>28 (M1)</t>
  </si>
  <si>
    <r>
      <rPr>
        <color rgb="FF1155CC"/>
        <u/>
      </rPr>
      <t>Validate UH Email Address</t>
    </r>
  </si>
  <si>
    <t>29 (M1)</t>
  </si>
  <si>
    <r>
      <rPr>
        <color rgb="FF1155CC"/>
        <u/>
      </rPr>
      <t>Add Construction Ongoing Page</t>
    </r>
  </si>
  <si>
    <t>Total Hours:</t>
  </si>
  <si>
    <t>Task Number (M2)</t>
  </si>
  <si>
    <t>1 (M2)</t>
  </si>
  <si>
    <r>
      <rPr>
        <color rgb="FF1155CC"/>
        <u/>
      </rPr>
      <t>Edit Wonkes page</t>
    </r>
  </si>
  <si>
    <t>Darilyn Evangelista, Yuhang Wu</t>
  </si>
  <si>
    <t>2 (M2)</t>
  </si>
  <si>
    <r>
      <rPr>
        <color rgb="FF1155CC"/>
        <u/>
      </rPr>
      <t>Delete My Page</t>
    </r>
  </si>
  <si>
    <t>3 (M2)</t>
  </si>
  <si>
    <r>
      <rPr>
        <color rgb="FF1155CC"/>
        <u/>
      </rPr>
      <t>Fix Wrong GitHub Repo Name</t>
    </r>
  </si>
  <si>
    <t>4 (M2)</t>
  </si>
  <si>
    <r>
      <rPr>
        <color rgb="FF1155CC"/>
        <u/>
      </rPr>
      <t>Validate UH Email Address</t>
    </r>
  </si>
  <si>
    <t>5 (M2)</t>
  </si>
  <si>
    <r>
      <rPr>
        <color rgb="FF1155CC"/>
        <u/>
      </rPr>
      <t>Improve Add Merch Form</t>
    </r>
  </si>
  <si>
    <t>6 (M2)</t>
  </si>
  <si>
    <r>
      <rPr>
        <color rgb="FF1155CC"/>
        <u/>
      </rPr>
      <t>Edit Navbar</t>
    </r>
  </si>
  <si>
    <t>7 (M2)</t>
  </si>
  <si>
    <r>
      <rPr>
        <color rgb="FF1155CC"/>
        <u/>
      </rPr>
      <t>Improve My Store Page</t>
    </r>
  </si>
  <si>
    <t>Yuhang Wu, Joshua Omori</t>
  </si>
  <si>
    <t>8 (M2)</t>
  </si>
  <si>
    <r>
      <rPr>
        <color rgb="FF1155CC"/>
        <u/>
      </rPr>
      <t>Reduce Page Loading Time</t>
    </r>
  </si>
  <si>
    <t>9 (M2)</t>
  </si>
  <si>
    <r>
      <rPr>
        <color rgb="FF1155CC"/>
        <u/>
      </rPr>
      <t>Add Reset Forgotten Password Feature Part 1</t>
    </r>
  </si>
  <si>
    <t>10 (M2)</t>
  </si>
  <si>
    <r>
      <rPr>
        <color rgb="FF1155CC"/>
        <u/>
      </rPr>
      <t>Add Edit Merch Form</t>
    </r>
  </si>
  <si>
    <t>11 (M2)</t>
  </si>
  <si>
    <r>
      <rPr>
        <color rgb="FF1155CC"/>
        <u/>
      </rPr>
      <t>Edit 404 Not Found Page</t>
    </r>
  </si>
  <si>
    <t>12 (M2)</t>
  </si>
  <si>
    <r>
      <rPr>
        <color rgb="FF1155CC"/>
        <u/>
      </rPr>
      <t>Add Construction Ongoing Page</t>
    </r>
  </si>
  <si>
    <t>13 (M2)</t>
  </si>
  <si>
    <r>
      <rPr>
        <color rgb="FF1155CC"/>
        <u/>
      </rPr>
      <t>Fix All Broken and Buggy Links</t>
    </r>
  </si>
  <si>
    <t>14 (M2)</t>
  </si>
  <si>
    <r>
      <rPr>
        <color rgb="FF1155CC"/>
        <u/>
      </rPr>
      <t>Add Email User Feature</t>
    </r>
  </si>
  <si>
    <t>15 (M2)</t>
  </si>
  <si>
    <r>
      <rPr>
        <color rgb="FF1155CC"/>
        <u/>
      </rPr>
      <t>Add Reset Forgotten Password Feature Part 2</t>
    </r>
  </si>
  <si>
    <t>16 (M2)</t>
  </si>
  <si>
    <r>
      <rPr>
        <color rgb="FF1155CC"/>
        <u/>
      </rPr>
      <t>Landing Page UI Fix</t>
    </r>
  </si>
  <si>
    <t>Darilyn Evangelista</t>
  </si>
  <si>
    <t>17 (M2)</t>
  </si>
  <si>
    <r>
      <rPr>
        <color rgb="FF1155CC"/>
        <u/>
      </rPr>
      <t>Add My Favorite Feature</t>
    </r>
  </si>
  <si>
    <t>18 (M2)</t>
  </si>
  <si>
    <r>
      <rPr>
        <color rgb="FF1155CC"/>
        <u/>
      </rPr>
      <t>Add Like Implementation for Merch Detail + fix UI of View Listings and Liked Listings</t>
    </r>
  </si>
  <si>
    <t>19 (M2)</t>
  </si>
  <si>
    <r>
      <rPr>
        <color rgb="FF1155CC"/>
        <u/>
      </rPr>
      <t>Make Fininshing Touches</t>
    </r>
  </si>
  <si>
    <t>Task Number (M3)</t>
  </si>
  <si>
    <t>1 (M3)</t>
  </si>
  <si>
    <r>
      <rPr>
        <color rgb="FF1155CC"/>
        <u/>
      </rPr>
      <t>Implement Playwright “availability” tests for all pages</t>
    </r>
  </si>
  <si>
    <t>2 (M3)</t>
  </si>
  <si>
    <r>
      <rPr>
        <color rgb="FF1155CC"/>
        <u/>
      </rPr>
      <t>Fix size of sign up page</t>
    </r>
  </si>
  <si>
    <t>3 (M3)</t>
  </si>
  <si>
    <r>
      <rPr>
        <color rgb="FF1155CC"/>
        <u/>
      </rPr>
      <t>Update Webpage Info design in Support to look more complete</t>
    </r>
  </si>
  <si>
    <t>4 (M3)</t>
  </si>
  <si>
    <r>
      <rPr>
        <color rgb="FF1155CC"/>
        <u/>
      </rPr>
      <t>Improve listing card</t>
    </r>
  </si>
  <si>
    <t>Brian Kim</t>
  </si>
  <si>
    <t>5 (M3)</t>
  </si>
  <si>
    <r>
      <rPr>
        <color rgb="FF1155CC"/>
        <u/>
      </rPr>
      <t>Make username case-insesitive</t>
    </r>
  </si>
  <si>
    <t>6 (M3)</t>
  </si>
  <si>
    <r>
      <rPr>
        <color rgb="FF1155CC"/>
        <u/>
      </rPr>
      <t>Image system overhaul</t>
    </r>
  </si>
  <si>
    <t>7 (M3)</t>
  </si>
  <si>
    <r>
      <rPr>
        <color rgb="FF1155CC"/>
        <u/>
      </rPr>
      <t>Add method to delete listings (by own user/any admin)</t>
    </r>
  </si>
  <si>
    <t>8 (M3)</t>
  </si>
  <si>
    <r>
      <rPr>
        <color rgb="FF1155CC"/>
        <u/>
      </rPr>
      <t>Finish Get Seller's Contact in Merch Panel</t>
    </r>
  </si>
  <si>
    <t>9 (M3)</t>
  </si>
  <si>
    <r>
      <rPr>
        <color rgb="FF1155CC"/>
        <u/>
      </rPr>
      <t>Cancel button in edit listings should take you back to admin/added listings page</t>
    </r>
  </si>
  <si>
    <t>10 (M3)</t>
  </si>
  <si>
    <r>
      <rPr>
        <color rgb="FF1155CC"/>
        <u/>
      </rPr>
      <t>Final smash</t>
    </r>
  </si>
  <si>
    <t>11 (M3)</t>
  </si>
  <si>
    <r>
      <rPr>
        <color rgb="FF1155CC"/>
        <u/>
      </rPr>
      <t>Find Bugs that are currently plauging the site</t>
    </r>
  </si>
  <si>
    <t>12 (M3)</t>
  </si>
  <si>
    <r>
      <rPr>
        <color rgb="FF1155CC"/>
        <u/>
      </rPr>
      <t>Add Pagenation to Likes and View Listings</t>
    </r>
  </si>
  <si>
    <t>13 (M3)</t>
  </si>
  <si>
    <r>
      <rPr>
        <color rgb="FF1155CC"/>
        <u/>
      </rPr>
      <t>Change Admin Page</t>
    </r>
  </si>
  <si>
    <t>14 (M3)</t>
  </si>
  <si>
    <r>
      <rPr>
        <color rgb="FF1155CC"/>
        <u/>
      </rPr>
      <t>Add Pagination and Search to Admin Panel</t>
    </r>
  </si>
  <si>
    <t>15 (M3)</t>
  </si>
  <si>
    <r>
      <rPr>
        <color rgb="FF1155CC"/>
        <u/>
      </rPr>
      <t>Fix Stock Status</t>
    </r>
  </si>
  <si>
    <t>16 (M3)</t>
  </si>
  <si>
    <r>
      <rPr>
        <color rgb="FF1155CC"/>
        <u/>
      </rPr>
      <t>Changing page number manually gives edit access for all merch</t>
    </r>
  </si>
  <si>
    <t>17 (M3)</t>
  </si>
  <si>
    <r>
      <rPr>
        <color rgb="FF1155CC"/>
        <u/>
      </rPr>
      <t>Add method to delete own account</t>
    </r>
  </si>
  <si>
    <t>Grand Total Hours:</t>
  </si>
  <si>
    <t>Team Member</t>
  </si>
  <si>
    <t>Software Development Experience (months)</t>
  </si>
  <si>
    <t>How was coding effort tracked</t>
  </si>
  <si>
    <t>How was non-coding effort tracked?</t>
  </si>
  <si>
    <t>M1: Best Estimated Guess;  M2/M3: Tracked time spent per session and added it to total</t>
  </si>
  <si>
    <t>M1/M2/M3: Google stopwatch</t>
  </si>
  <si>
    <t>M1/M2/M3: Google stopwatch and estimation</t>
  </si>
  <si>
    <t>M1/M2/M3: Estimation</t>
  </si>
  <si>
    <t>M1: Estimate; M2/M3: Casual time tracking with a clock</t>
  </si>
  <si>
    <t>M1/M2/M3: Read the clock and take approximate the time elapsed during coding.</t>
  </si>
  <si>
    <t>M1/M2/M3: Personal feeling, daydreaming,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</si>
</sst>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  <font>
      <b/>
      <sz val="12.0"/>
      <color rgb="FF495057"/>
      <name val="&quot;\0022Open Sans\0022&quot;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wonkes-manoa/manoa-student-market/issues/56" TargetMode="External"/><Relationship Id="rId42" Type="http://schemas.openxmlformats.org/officeDocument/2006/relationships/hyperlink" Target="https://github.com/wonkes-manoa/manoa-student-market/issues/58" TargetMode="External"/><Relationship Id="rId41" Type="http://schemas.openxmlformats.org/officeDocument/2006/relationships/hyperlink" Target="https://github.com/wonkes-manoa/manoa-student-market/issues/57" TargetMode="External"/><Relationship Id="rId44" Type="http://schemas.openxmlformats.org/officeDocument/2006/relationships/hyperlink" Target="https://github.com/wonkes-manoa/manoa-student-market/issues/60" TargetMode="External"/><Relationship Id="rId43" Type="http://schemas.openxmlformats.org/officeDocument/2006/relationships/hyperlink" Target="https://github.com/wonkes-manoa/manoa-student-market/issues/59" TargetMode="External"/><Relationship Id="rId46" Type="http://schemas.openxmlformats.org/officeDocument/2006/relationships/hyperlink" Target="https://github.com/wonkes-manoa/manoa-student-market/issues/66" TargetMode="External"/><Relationship Id="rId45" Type="http://schemas.openxmlformats.org/officeDocument/2006/relationships/hyperlink" Target="https://github.com/wonkes-manoa/manoa-student-market/issues/62" TargetMode="External"/><Relationship Id="rId1" Type="http://schemas.openxmlformats.org/officeDocument/2006/relationships/hyperlink" Target="https://github.com/wonkes-manoa/manoa-student-market/issues/2" TargetMode="External"/><Relationship Id="rId2" Type="http://schemas.openxmlformats.org/officeDocument/2006/relationships/hyperlink" Target="https://github.com/wonkes-manoa/manoa-student-market/issues/4" TargetMode="External"/><Relationship Id="rId3" Type="http://schemas.openxmlformats.org/officeDocument/2006/relationships/hyperlink" Target="https://github.com/wonkes-manoa/manoa-student-market/issues/7" TargetMode="External"/><Relationship Id="rId4" Type="http://schemas.openxmlformats.org/officeDocument/2006/relationships/hyperlink" Target="https://github.com/wonkes-manoa/manoa-student-market/issues/8" TargetMode="External"/><Relationship Id="rId9" Type="http://schemas.openxmlformats.org/officeDocument/2006/relationships/hyperlink" Target="https://github.com/wonkes-manoa/manoa-student-market/issues/13" TargetMode="External"/><Relationship Id="rId48" Type="http://schemas.openxmlformats.org/officeDocument/2006/relationships/hyperlink" Target="https://github.com/wonkes-manoa/manoa-student-market/issues/70" TargetMode="External"/><Relationship Id="rId47" Type="http://schemas.openxmlformats.org/officeDocument/2006/relationships/hyperlink" Target="https://github.com/wonkes-manoa/manoa-student-market/issues/68" TargetMode="External"/><Relationship Id="rId49" Type="http://schemas.openxmlformats.org/officeDocument/2006/relationships/hyperlink" Target="https://github.com/wonkes-manoa/manoa-student-market/issues/87" TargetMode="External"/><Relationship Id="rId5" Type="http://schemas.openxmlformats.org/officeDocument/2006/relationships/hyperlink" Target="https://github.com/wonkes-manoa/manoa-student-market/issues/9" TargetMode="External"/><Relationship Id="rId6" Type="http://schemas.openxmlformats.org/officeDocument/2006/relationships/hyperlink" Target="https://github.com/wonkes-manoa/manoa-student-market/issues/10" TargetMode="External"/><Relationship Id="rId7" Type="http://schemas.openxmlformats.org/officeDocument/2006/relationships/hyperlink" Target="https://github.com/wonkes-manoa/manoa-student-market/issues/11" TargetMode="External"/><Relationship Id="rId8" Type="http://schemas.openxmlformats.org/officeDocument/2006/relationships/hyperlink" Target="https://github.com/wonkes-manoa/manoa-student-market/issues/12" TargetMode="External"/><Relationship Id="rId31" Type="http://schemas.openxmlformats.org/officeDocument/2006/relationships/hyperlink" Target="https://github.com/wonkes-manoa/manoa-student-market/issues/47" TargetMode="External"/><Relationship Id="rId30" Type="http://schemas.openxmlformats.org/officeDocument/2006/relationships/hyperlink" Target="https://github.com/wonkes-manoa/manoa-student-market/issues/1" TargetMode="External"/><Relationship Id="rId33" Type="http://schemas.openxmlformats.org/officeDocument/2006/relationships/hyperlink" Target="https://github.com/wonkes-manoa/manoa-student-market/issues/49" TargetMode="External"/><Relationship Id="rId32" Type="http://schemas.openxmlformats.org/officeDocument/2006/relationships/hyperlink" Target="https://github.com/wonkes-manoa/manoa-student-market/issues/48" TargetMode="External"/><Relationship Id="rId35" Type="http://schemas.openxmlformats.org/officeDocument/2006/relationships/hyperlink" Target="https://github.com/wonkes-manoa/manoa-student-market/issues/51" TargetMode="External"/><Relationship Id="rId34" Type="http://schemas.openxmlformats.org/officeDocument/2006/relationships/hyperlink" Target="https://github.com/wonkes-manoa/manoa-student-market/issues/50" TargetMode="External"/><Relationship Id="rId37" Type="http://schemas.openxmlformats.org/officeDocument/2006/relationships/hyperlink" Target="https://github.com/wonkes-manoa/manoa-student-market/issues/53" TargetMode="External"/><Relationship Id="rId36" Type="http://schemas.openxmlformats.org/officeDocument/2006/relationships/hyperlink" Target="https://github.com/wonkes-manoa/manoa-student-market/issues/52" TargetMode="External"/><Relationship Id="rId39" Type="http://schemas.openxmlformats.org/officeDocument/2006/relationships/hyperlink" Target="https://github.com/wonkes-manoa/manoa-student-market/issues/55" TargetMode="External"/><Relationship Id="rId38" Type="http://schemas.openxmlformats.org/officeDocument/2006/relationships/hyperlink" Target="https://github.com/wonkes-manoa/manoa-student-market/issues/54" TargetMode="External"/><Relationship Id="rId62" Type="http://schemas.openxmlformats.org/officeDocument/2006/relationships/hyperlink" Target="https://github.com/wonkes-manoa/manoa-student-market/issues/78" TargetMode="External"/><Relationship Id="rId61" Type="http://schemas.openxmlformats.org/officeDocument/2006/relationships/hyperlink" Target="https://github.com/wonkes-manoa/manoa-student-market/issues/76" TargetMode="External"/><Relationship Id="rId20" Type="http://schemas.openxmlformats.org/officeDocument/2006/relationships/hyperlink" Target="https://github.com/wonkes-manoa/manoa-student-market/issues/32" TargetMode="External"/><Relationship Id="rId64" Type="http://schemas.openxmlformats.org/officeDocument/2006/relationships/hyperlink" Target="https://github.com/wonkes-manoa/manoa-student-market/issues/94" TargetMode="External"/><Relationship Id="rId63" Type="http://schemas.openxmlformats.org/officeDocument/2006/relationships/hyperlink" Target="https://github.com/wonkes-manoa/manoa-student-market/issues/81" TargetMode="External"/><Relationship Id="rId22" Type="http://schemas.openxmlformats.org/officeDocument/2006/relationships/hyperlink" Target="https://github.com/wonkes-manoa/manoa-student-market/issues/35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github.com/wonkes-manoa/manoa-student-market/issues/34" TargetMode="External"/><Relationship Id="rId65" Type="http://schemas.openxmlformats.org/officeDocument/2006/relationships/hyperlink" Target="https://github.com/wonkes-manoa/manoa-student-market/issues/98" TargetMode="External"/><Relationship Id="rId24" Type="http://schemas.openxmlformats.org/officeDocument/2006/relationships/hyperlink" Target="https://github.com/wonkes-manoa/manoa-student-market/issues/51" TargetMode="External"/><Relationship Id="rId23" Type="http://schemas.openxmlformats.org/officeDocument/2006/relationships/hyperlink" Target="https://github.com/wonkes-manoa/manoa-student-market/issues/40" TargetMode="External"/><Relationship Id="rId60" Type="http://schemas.openxmlformats.org/officeDocument/2006/relationships/hyperlink" Target="https://github.com/wonkes-manoa/manoa-student-market/issues/71" TargetMode="External"/><Relationship Id="rId26" Type="http://schemas.openxmlformats.org/officeDocument/2006/relationships/hyperlink" Target="https://github.com/wonkes-manoa/manoa-student-market/issues/47" TargetMode="External"/><Relationship Id="rId25" Type="http://schemas.openxmlformats.org/officeDocument/2006/relationships/hyperlink" Target="https://github.com/wonkes-manoa/manoa-student-market/issues/48" TargetMode="External"/><Relationship Id="rId28" Type="http://schemas.openxmlformats.org/officeDocument/2006/relationships/hyperlink" Target="https://github.com/wonkes-manoa/manoa-student-market/issues/49" TargetMode="External"/><Relationship Id="rId27" Type="http://schemas.openxmlformats.org/officeDocument/2006/relationships/hyperlink" Target="https://github.com/wonkes-manoa/manoa-student-market/issues/50" TargetMode="External"/><Relationship Id="rId29" Type="http://schemas.openxmlformats.org/officeDocument/2006/relationships/hyperlink" Target="https://github.com/wonkes-manoa/manoa-student-market/issues/57" TargetMode="External"/><Relationship Id="rId51" Type="http://schemas.openxmlformats.org/officeDocument/2006/relationships/hyperlink" Target="https://github.com/wonkes-manoa/manoa-student-market/issues/79" TargetMode="External"/><Relationship Id="rId50" Type="http://schemas.openxmlformats.org/officeDocument/2006/relationships/hyperlink" Target="https://github.com/wonkes-manoa/manoa-student-market/issues/75" TargetMode="External"/><Relationship Id="rId53" Type="http://schemas.openxmlformats.org/officeDocument/2006/relationships/hyperlink" Target="https://github.com/wonkes-manoa/manoa-student-market/issues/85" TargetMode="External"/><Relationship Id="rId52" Type="http://schemas.openxmlformats.org/officeDocument/2006/relationships/hyperlink" Target="https://github.com/wonkes-manoa/manoa-student-market/issues/80" TargetMode="External"/><Relationship Id="rId11" Type="http://schemas.openxmlformats.org/officeDocument/2006/relationships/hyperlink" Target="https://github.com/wonkes-manoa/manoa-student-market/issues/15" TargetMode="External"/><Relationship Id="rId55" Type="http://schemas.openxmlformats.org/officeDocument/2006/relationships/hyperlink" Target="https://github.com/wonkes-manoa/manoa-student-market/issues/72" TargetMode="External"/><Relationship Id="rId10" Type="http://schemas.openxmlformats.org/officeDocument/2006/relationships/hyperlink" Target="https://github.com/wonkes-manoa/manoa-student-market/issues/14" TargetMode="External"/><Relationship Id="rId54" Type="http://schemas.openxmlformats.org/officeDocument/2006/relationships/hyperlink" Target="https://github.com/wonkes-manoa/manoa-student-market/issues/104" TargetMode="External"/><Relationship Id="rId13" Type="http://schemas.openxmlformats.org/officeDocument/2006/relationships/hyperlink" Target="https://github.com/wonkes-manoa/manoa-student-market/issues/18" TargetMode="External"/><Relationship Id="rId57" Type="http://schemas.openxmlformats.org/officeDocument/2006/relationships/hyperlink" Target="https://github.com/wonkes-manoa/manoa-student-market/issues/88" TargetMode="External"/><Relationship Id="rId12" Type="http://schemas.openxmlformats.org/officeDocument/2006/relationships/hyperlink" Target="https://github.com/wonkes-manoa/manoa-student-market/issues/17" TargetMode="External"/><Relationship Id="rId56" Type="http://schemas.openxmlformats.org/officeDocument/2006/relationships/hyperlink" Target="https://github.com/wonkes-manoa/manoa-student-market/issues/73" TargetMode="External"/><Relationship Id="rId15" Type="http://schemas.openxmlformats.org/officeDocument/2006/relationships/hyperlink" Target="https://github.com/wonkes-manoa/manoa-student-market/issues/20" TargetMode="External"/><Relationship Id="rId59" Type="http://schemas.openxmlformats.org/officeDocument/2006/relationships/hyperlink" Target="https://github.com/wonkes-manoa/manoa-student-market/issues/103" TargetMode="External"/><Relationship Id="rId14" Type="http://schemas.openxmlformats.org/officeDocument/2006/relationships/hyperlink" Target="https://github.com/wonkes-manoa/manoa-student-market/issues/19" TargetMode="External"/><Relationship Id="rId58" Type="http://schemas.openxmlformats.org/officeDocument/2006/relationships/hyperlink" Target="https://github.com/wonkes-manoa/manoa-student-market/issues/102" TargetMode="External"/><Relationship Id="rId17" Type="http://schemas.openxmlformats.org/officeDocument/2006/relationships/hyperlink" Target="https://github.com/wonkes-manoa/manoa-student-market/issues/24" TargetMode="External"/><Relationship Id="rId16" Type="http://schemas.openxmlformats.org/officeDocument/2006/relationships/hyperlink" Target="https://github.com/wonkes-manoa/manoa-student-market/issues/23" TargetMode="External"/><Relationship Id="rId19" Type="http://schemas.openxmlformats.org/officeDocument/2006/relationships/hyperlink" Target="https://github.com/wonkes-manoa/manoa-student-market/issues/28" TargetMode="External"/><Relationship Id="rId18" Type="http://schemas.openxmlformats.org/officeDocument/2006/relationships/hyperlink" Target="https://github.com/wonkes-manoa/manoa-student-market/issues/2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65.25"/>
    <col customWidth="1" min="3" max="3" width="26.25"/>
    <col customWidth="1" min="4" max="4" width="28.13"/>
    <col customWidth="1" min="5" max="5" width="23.88"/>
    <col customWidth="1" min="6" max="6" width="24.25"/>
    <col customWidth="1" min="7" max="7" width="2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5">
        <v>1.0</v>
      </c>
      <c r="D2" s="7">
        <v>2.66</v>
      </c>
      <c r="E2" s="7">
        <v>0.33</v>
      </c>
      <c r="F2" s="5" t="s">
        <v>9</v>
      </c>
      <c r="G2" s="5" t="s">
        <v>10</v>
      </c>
    </row>
    <row r="3">
      <c r="A3" s="5" t="s">
        <v>11</v>
      </c>
      <c r="B3" s="6" t="s">
        <v>12</v>
      </c>
      <c r="C3" s="5">
        <v>1.0</v>
      </c>
      <c r="D3" s="7">
        <v>4.0</v>
      </c>
      <c r="E3" s="7">
        <v>2.5</v>
      </c>
      <c r="F3" s="5" t="s">
        <v>13</v>
      </c>
      <c r="G3" s="8" t="s">
        <v>14</v>
      </c>
    </row>
    <row r="4">
      <c r="A4" s="5" t="s">
        <v>15</v>
      </c>
      <c r="B4" s="6" t="s">
        <v>16</v>
      </c>
      <c r="C4" s="5">
        <v>8.0</v>
      </c>
      <c r="D4" s="5">
        <v>4.0</v>
      </c>
      <c r="E4" s="5">
        <v>4.0</v>
      </c>
      <c r="F4" s="5" t="s">
        <v>17</v>
      </c>
      <c r="G4" s="5" t="s">
        <v>18</v>
      </c>
    </row>
    <row r="5">
      <c r="A5" s="5" t="s">
        <v>19</v>
      </c>
      <c r="B5" s="6" t="s">
        <v>20</v>
      </c>
      <c r="C5" s="5">
        <v>3.0</v>
      </c>
      <c r="D5" s="5">
        <v>2.3</v>
      </c>
      <c r="E5" s="5">
        <v>0.7</v>
      </c>
      <c r="F5" s="5" t="s">
        <v>21</v>
      </c>
      <c r="G5" s="5" t="s">
        <v>21</v>
      </c>
    </row>
    <row r="6">
      <c r="A6" s="5" t="s">
        <v>22</v>
      </c>
      <c r="B6" s="6" t="s">
        <v>23</v>
      </c>
      <c r="C6" s="5">
        <v>0.15</v>
      </c>
      <c r="D6" s="5">
        <v>0.1</v>
      </c>
      <c r="E6" s="5">
        <v>0.0</v>
      </c>
      <c r="F6" s="5" t="s">
        <v>24</v>
      </c>
      <c r="G6" s="5" t="s">
        <v>25</v>
      </c>
    </row>
    <row r="7">
      <c r="A7" s="5" t="s">
        <v>26</v>
      </c>
      <c r="B7" s="6" t="s">
        <v>27</v>
      </c>
      <c r="C7" s="5">
        <v>0.5</v>
      </c>
      <c r="D7" s="5">
        <v>0.5</v>
      </c>
      <c r="E7" s="5">
        <v>0.0</v>
      </c>
      <c r="F7" s="5" t="s">
        <v>21</v>
      </c>
      <c r="G7" s="5" t="s">
        <v>21</v>
      </c>
    </row>
    <row r="8">
      <c r="A8" s="5" t="s">
        <v>28</v>
      </c>
      <c r="B8" s="6" t="s">
        <v>29</v>
      </c>
      <c r="C8" s="5">
        <v>5.0</v>
      </c>
      <c r="D8" s="5">
        <v>4.2</v>
      </c>
      <c r="E8" s="5">
        <v>0.6</v>
      </c>
      <c r="F8" s="5" t="s">
        <v>21</v>
      </c>
      <c r="G8" s="5" t="s">
        <v>21</v>
      </c>
    </row>
    <row r="9">
      <c r="A9" s="5" t="s">
        <v>30</v>
      </c>
      <c r="B9" s="9" t="s">
        <v>31</v>
      </c>
      <c r="C9" s="5">
        <v>5.0</v>
      </c>
      <c r="D9" s="5">
        <v>4.0</v>
      </c>
      <c r="E9" s="5">
        <v>3.0</v>
      </c>
      <c r="F9" s="5" t="s">
        <v>17</v>
      </c>
      <c r="G9" s="5" t="s">
        <v>18</v>
      </c>
    </row>
    <row r="10">
      <c r="A10" s="5" t="s">
        <v>32</v>
      </c>
      <c r="B10" s="6" t="s">
        <v>33</v>
      </c>
      <c r="C10" s="5">
        <v>3.0</v>
      </c>
      <c r="D10" s="5">
        <v>2.5</v>
      </c>
      <c r="E10" s="7">
        <v>1.0</v>
      </c>
      <c r="F10" s="5" t="s">
        <v>34</v>
      </c>
      <c r="G10" s="5" t="s">
        <v>34</v>
      </c>
    </row>
    <row r="11">
      <c r="A11" s="5" t="s">
        <v>35</v>
      </c>
      <c r="B11" s="6" t="s">
        <v>36</v>
      </c>
      <c r="C11" s="5">
        <v>1.0</v>
      </c>
      <c r="D11" s="5">
        <v>0.5</v>
      </c>
      <c r="E11" s="5">
        <v>0.1</v>
      </c>
      <c r="F11" s="5" t="s">
        <v>21</v>
      </c>
      <c r="G11" s="5" t="s">
        <v>21</v>
      </c>
    </row>
    <row r="12">
      <c r="A12" s="5" t="s">
        <v>37</v>
      </c>
      <c r="B12" s="6" t="s">
        <v>38</v>
      </c>
      <c r="C12" s="5">
        <v>4.0</v>
      </c>
      <c r="D12" s="5">
        <v>5.0</v>
      </c>
      <c r="E12" s="5">
        <v>1.0</v>
      </c>
      <c r="F12" s="5" t="s">
        <v>21</v>
      </c>
      <c r="G12" s="5" t="s">
        <v>21</v>
      </c>
    </row>
    <row r="13">
      <c r="A13" s="5" t="s">
        <v>39</v>
      </c>
      <c r="B13" s="6" t="s">
        <v>40</v>
      </c>
      <c r="C13" s="5">
        <v>3.0</v>
      </c>
      <c r="D13" s="5">
        <v>2.0</v>
      </c>
      <c r="E13" s="5">
        <v>1.0</v>
      </c>
      <c r="F13" s="5" t="s">
        <v>34</v>
      </c>
      <c r="G13" s="5" t="s">
        <v>34</v>
      </c>
    </row>
    <row r="14">
      <c r="A14" s="5" t="s">
        <v>41</v>
      </c>
      <c r="B14" s="6" t="s">
        <v>42</v>
      </c>
      <c r="C14" s="5">
        <v>2.0</v>
      </c>
      <c r="D14" s="5">
        <v>1.2</v>
      </c>
      <c r="E14" s="5">
        <v>0.3</v>
      </c>
      <c r="F14" s="5" t="s">
        <v>21</v>
      </c>
      <c r="G14" s="5" t="s">
        <v>21</v>
      </c>
    </row>
    <row r="15">
      <c r="A15" s="5" t="s">
        <v>43</v>
      </c>
      <c r="B15" s="6" t="s">
        <v>44</v>
      </c>
      <c r="C15" s="5">
        <v>1.0</v>
      </c>
      <c r="D15" s="5">
        <v>0.1</v>
      </c>
      <c r="E15" s="5">
        <v>1.5</v>
      </c>
      <c r="F15" s="5" t="s">
        <v>21</v>
      </c>
      <c r="G15" s="5" t="s">
        <v>21</v>
      </c>
    </row>
    <row r="16">
      <c r="A16" s="5" t="s">
        <v>45</v>
      </c>
      <c r="B16" s="6" t="s">
        <v>46</v>
      </c>
      <c r="C16" s="5">
        <v>0.1</v>
      </c>
      <c r="D16" s="5">
        <v>0.1</v>
      </c>
      <c r="E16" s="5">
        <v>0.0</v>
      </c>
      <c r="F16" s="5" t="s">
        <v>21</v>
      </c>
      <c r="G16" s="5" t="s">
        <v>21</v>
      </c>
    </row>
    <row r="17">
      <c r="A17" s="5" t="s">
        <v>47</v>
      </c>
      <c r="B17" s="6" t="s">
        <v>48</v>
      </c>
      <c r="C17" s="5">
        <v>3.0</v>
      </c>
      <c r="D17" s="5">
        <v>2.6</v>
      </c>
      <c r="E17" s="5">
        <v>0.5</v>
      </c>
      <c r="F17" s="5" t="s">
        <v>21</v>
      </c>
      <c r="G17" s="5" t="s">
        <v>21</v>
      </c>
    </row>
    <row r="18">
      <c r="A18" s="5" t="s">
        <v>49</v>
      </c>
      <c r="B18" s="6" t="s">
        <v>50</v>
      </c>
      <c r="C18" s="5">
        <v>3.0</v>
      </c>
      <c r="D18" s="5">
        <v>4.0</v>
      </c>
      <c r="E18" s="5">
        <v>0.0</v>
      </c>
      <c r="F18" s="5" t="s">
        <v>34</v>
      </c>
      <c r="G18" s="5" t="s">
        <v>34</v>
      </c>
    </row>
    <row r="19">
      <c r="A19" s="5" t="s">
        <v>51</v>
      </c>
      <c r="B19" s="6" t="s">
        <v>52</v>
      </c>
      <c r="C19" s="5">
        <v>48.0</v>
      </c>
      <c r="D19" s="5">
        <v>8.0</v>
      </c>
      <c r="E19" s="5">
        <v>2.0</v>
      </c>
      <c r="F19" s="5" t="s">
        <v>21</v>
      </c>
      <c r="G19" s="5" t="s">
        <v>21</v>
      </c>
    </row>
    <row r="20">
      <c r="A20" s="5" t="s">
        <v>53</v>
      </c>
      <c r="B20" s="6" t="s">
        <v>54</v>
      </c>
      <c r="C20" s="5">
        <v>0.5</v>
      </c>
      <c r="D20" s="5">
        <v>0.1</v>
      </c>
      <c r="E20" s="5">
        <v>0.0</v>
      </c>
      <c r="F20" s="5" t="s">
        <v>21</v>
      </c>
      <c r="G20" s="5" t="s">
        <v>21</v>
      </c>
    </row>
    <row r="21">
      <c r="A21" s="5" t="s">
        <v>55</v>
      </c>
      <c r="B21" s="6" t="s">
        <v>56</v>
      </c>
      <c r="C21" s="5">
        <v>2.0</v>
      </c>
      <c r="D21" s="5">
        <v>1.8</v>
      </c>
      <c r="E21" s="5">
        <v>0.2</v>
      </c>
      <c r="F21" s="5" t="s">
        <v>21</v>
      </c>
      <c r="G21" s="5" t="s">
        <v>21</v>
      </c>
    </row>
    <row r="22">
      <c r="A22" s="5" t="s">
        <v>57</v>
      </c>
      <c r="B22" s="6" t="s">
        <v>58</v>
      </c>
      <c r="C22" s="5">
        <v>10.0</v>
      </c>
      <c r="D22" s="5">
        <v>0.5</v>
      </c>
      <c r="E22" s="5">
        <v>1.5</v>
      </c>
      <c r="F22" s="5" t="s">
        <v>21</v>
      </c>
      <c r="G22" s="5" t="s">
        <v>21</v>
      </c>
    </row>
    <row r="23">
      <c r="A23" s="5" t="s">
        <v>59</v>
      </c>
      <c r="B23" s="6" t="s">
        <v>60</v>
      </c>
      <c r="C23" s="5">
        <v>1.0</v>
      </c>
      <c r="D23" s="5">
        <v>0.5</v>
      </c>
      <c r="E23" s="5">
        <v>0.0</v>
      </c>
      <c r="F23" s="5" t="s">
        <v>21</v>
      </c>
      <c r="G23" s="5" t="s">
        <v>21</v>
      </c>
    </row>
    <row r="24">
      <c r="A24" s="5" t="s">
        <v>61</v>
      </c>
      <c r="B24" s="6" t="s">
        <v>62</v>
      </c>
      <c r="C24" s="5">
        <v>2.0</v>
      </c>
      <c r="D24" s="5">
        <v>6.0</v>
      </c>
      <c r="E24" s="5">
        <v>0.0</v>
      </c>
      <c r="F24" s="5" t="s">
        <v>34</v>
      </c>
      <c r="G24" s="5" t="s">
        <v>34</v>
      </c>
    </row>
    <row r="25">
      <c r="A25" s="5" t="s">
        <v>63</v>
      </c>
      <c r="B25" s="6" t="s">
        <v>64</v>
      </c>
      <c r="C25" s="5">
        <v>0.5</v>
      </c>
      <c r="D25" s="5">
        <v>0.6</v>
      </c>
      <c r="E25" s="5">
        <v>0.0</v>
      </c>
      <c r="F25" s="5" t="s">
        <v>21</v>
      </c>
      <c r="G25" s="5" t="s">
        <v>21</v>
      </c>
    </row>
    <row r="26">
      <c r="A26" s="5" t="s">
        <v>65</v>
      </c>
      <c r="B26" s="6" t="s">
        <v>66</v>
      </c>
      <c r="C26" s="5">
        <v>0.1</v>
      </c>
      <c r="D26" s="5">
        <v>0.1</v>
      </c>
      <c r="E26" s="5">
        <v>0.0</v>
      </c>
      <c r="F26" s="5" t="s">
        <v>21</v>
      </c>
      <c r="G26" s="5" t="s">
        <v>21</v>
      </c>
    </row>
    <row r="27">
      <c r="A27" s="5" t="s">
        <v>67</v>
      </c>
      <c r="B27" s="6" t="s">
        <v>68</v>
      </c>
      <c r="C27" s="5">
        <v>0.1</v>
      </c>
      <c r="D27" s="5">
        <v>0.1</v>
      </c>
      <c r="E27" s="5">
        <v>0.0</v>
      </c>
      <c r="F27" s="5" t="s">
        <v>21</v>
      </c>
      <c r="G27" s="5" t="s">
        <v>21</v>
      </c>
    </row>
    <row r="28">
      <c r="A28" s="5" t="s">
        <v>69</v>
      </c>
      <c r="B28" s="6" t="s">
        <v>70</v>
      </c>
      <c r="C28" s="5">
        <v>2.0</v>
      </c>
      <c r="D28" s="5">
        <v>3.0</v>
      </c>
      <c r="E28" s="5">
        <v>0.5</v>
      </c>
      <c r="F28" s="5" t="s">
        <v>21</v>
      </c>
      <c r="G28" s="5" t="s">
        <v>21</v>
      </c>
    </row>
    <row r="29">
      <c r="A29" s="5" t="s">
        <v>71</v>
      </c>
      <c r="B29" s="6" t="s">
        <v>72</v>
      </c>
      <c r="C29" s="5">
        <v>0.0</v>
      </c>
      <c r="D29" s="5">
        <v>0.0</v>
      </c>
      <c r="E29" s="5">
        <v>0.0</v>
      </c>
      <c r="F29" s="5" t="s">
        <v>21</v>
      </c>
      <c r="G29" s="5" t="s">
        <v>21</v>
      </c>
    </row>
    <row r="30">
      <c r="A30" s="5" t="s">
        <v>73</v>
      </c>
      <c r="B30" s="6" t="s">
        <v>74</v>
      </c>
      <c r="C30" s="5">
        <v>0.5</v>
      </c>
      <c r="D30" s="5">
        <v>0.1</v>
      </c>
      <c r="E30" s="5">
        <v>0.1</v>
      </c>
      <c r="F30" s="5" t="s">
        <v>21</v>
      </c>
      <c r="G30" s="5" t="s">
        <v>21</v>
      </c>
    </row>
    <row r="31">
      <c r="A31" s="5"/>
      <c r="B31" s="7" t="s">
        <v>75</v>
      </c>
      <c r="C31" s="5">
        <f t="shared" ref="C31:E31" si="1">SUM(C2:C30)</f>
        <v>110.45</v>
      </c>
      <c r="D31" s="10">
        <f t="shared" si="1"/>
        <v>60.56</v>
      </c>
      <c r="E31" s="10">
        <f t="shared" si="1"/>
        <v>20.83</v>
      </c>
    </row>
    <row r="33">
      <c r="A33" s="1" t="s">
        <v>76</v>
      </c>
      <c r="B33" s="2" t="s">
        <v>1</v>
      </c>
      <c r="C33" s="2" t="s">
        <v>2</v>
      </c>
      <c r="D33" s="2" t="s">
        <v>3</v>
      </c>
      <c r="E33" s="2" t="s">
        <v>4</v>
      </c>
      <c r="F33" s="3" t="s">
        <v>5</v>
      </c>
      <c r="G33" s="4" t="s">
        <v>6</v>
      </c>
    </row>
    <row r="34">
      <c r="A34" s="5" t="s">
        <v>77</v>
      </c>
      <c r="B34" s="6" t="s">
        <v>78</v>
      </c>
      <c r="C34" s="5">
        <v>10.0</v>
      </c>
      <c r="D34" s="5">
        <v>14.0</v>
      </c>
      <c r="E34" s="5">
        <v>2.0</v>
      </c>
      <c r="F34" s="5" t="s">
        <v>79</v>
      </c>
      <c r="G34" s="5" t="s">
        <v>21</v>
      </c>
    </row>
    <row r="35">
      <c r="A35" s="5" t="s">
        <v>80</v>
      </c>
      <c r="B35" s="6" t="s">
        <v>81</v>
      </c>
      <c r="C35" s="5">
        <v>0.5</v>
      </c>
      <c r="D35" s="5">
        <v>0.1</v>
      </c>
      <c r="E35" s="5">
        <v>0.0</v>
      </c>
      <c r="F35" s="5" t="s">
        <v>21</v>
      </c>
      <c r="G35" s="5" t="s">
        <v>21</v>
      </c>
    </row>
    <row r="36">
      <c r="A36" s="5" t="s">
        <v>82</v>
      </c>
      <c r="B36" s="6" t="s">
        <v>83</v>
      </c>
      <c r="C36" s="5">
        <v>0.5</v>
      </c>
      <c r="D36" s="5">
        <v>0.1</v>
      </c>
      <c r="E36" s="5">
        <v>0.0</v>
      </c>
      <c r="F36" s="5" t="s">
        <v>21</v>
      </c>
      <c r="G36" s="5" t="s">
        <v>21</v>
      </c>
    </row>
    <row r="37">
      <c r="A37" s="5" t="s">
        <v>84</v>
      </c>
      <c r="B37" s="6" t="s">
        <v>85</v>
      </c>
      <c r="C37" s="5">
        <v>3.5</v>
      </c>
      <c r="D37" s="5">
        <v>0.65</v>
      </c>
      <c r="E37" s="5">
        <v>0.1</v>
      </c>
      <c r="F37" s="5" t="s">
        <v>21</v>
      </c>
      <c r="G37" s="5" t="s">
        <v>21</v>
      </c>
    </row>
    <row r="38">
      <c r="A38" s="5" t="s">
        <v>86</v>
      </c>
      <c r="B38" s="6" t="s">
        <v>87</v>
      </c>
      <c r="C38" s="5">
        <v>3.5</v>
      </c>
      <c r="D38" s="5">
        <v>3.5</v>
      </c>
      <c r="E38" s="5">
        <v>0.5</v>
      </c>
      <c r="F38" s="5" t="s">
        <v>21</v>
      </c>
      <c r="G38" s="5" t="s">
        <v>21</v>
      </c>
    </row>
    <row r="39">
      <c r="A39" s="5" t="s">
        <v>88</v>
      </c>
      <c r="B39" s="6" t="s">
        <v>89</v>
      </c>
      <c r="C39" s="5">
        <v>0.5</v>
      </c>
      <c r="D39" s="5">
        <v>0.1</v>
      </c>
      <c r="E39" s="5">
        <v>0.0</v>
      </c>
      <c r="F39" s="5" t="s">
        <v>21</v>
      </c>
      <c r="G39" s="5" t="s">
        <v>21</v>
      </c>
    </row>
    <row r="40">
      <c r="A40" s="5" t="s">
        <v>90</v>
      </c>
      <c r="B40" s="6" t="s">
        <v>91</v>
      </c>
      <c r="C40" s="5">
        <v>4.5</v>
      </c>
      <c r="D40" s="5">
        <v>2.5</v>
      </c>
      <c r="E40" s="5">
        <v>0.5</v>
      </c>
      <c r="F40" s="5" t="s">
        <v>92</v>
      </c>
      <c r="G40" s="5" t="s">
        <v>21</v>
      </c>
    </row>
    <row r="41">
      <c r="A41" s="5" t="s">
        <v>93</v>
      </c>
      <c r="B41" s="6" t="s">
        <v>94</v>
      </c>
      <c r="C41" s="5">
        <v>5.5</v>
      </c>
      <c r="D41" s="5">
        <v>5.5</v>
      </c>
      <c r="E41" s="5">
        <v>1.0</v>
      </c>
      <c r="F41" s="5" t="s">
        <v>21</v>
      </c>
      <c r="G41" s="5" t="s">
        <v>21</v>
      </c>
    </row>
    <row r="42">
      <c r="A42" s="5" t="s">
        <v>95</v>
      </c>
      <c r="B42" s="6" t="s">
        <v>96</v>
      </c>
      <c r="C42" s="5">
        <v>5.0</v>
      </c>
      <c r="D42" s="5">
        <v>6.0</v>
      </c>
      <c r="E42" s="5">
        <v>1.0</v>
      </c>
      <c r="F42" s="5" t="s">
        <v>21</v>
      </c>
      <c r="G42" s="5" t="s">
        <v>21</v>
      </c>
    </row>
    <row r="43">
      <c r="A43" s="5" t="s">
        <v>97</v>
      </c>
      <c r="B43" s="6" t="s">
        <v>98</v>
      </c>
      <c r="C43" s="5">
        <v>6.0</v>
      </c>
      <c r="D43" s="5">
        <v>6.5</v>
      </c>
      <c r="E43" s="5">
        <v>1.5</v>
      </c>
      <c r="F43" s="5" t="s">
        <v>21</v>
      </c>
      <c r="G43" s="5" t="s">
        <v>21</v>
      </c>
    </row>
    <row r="44">
      <c r="A44" s="5" t="s">
        <v>99</v>
      </c>
      <c r="B44" s="6" t="s">
        <v>100</v>
      </c>
      <c r="C44" s="5">
        <v>1.0</v>
      </c>
      <c r="D44" s="5">
        <v>1.0</v>
      </c>
      <c r="E44" s="5">
        <v>0.2</v>
      </c>
      <c r="F44" s="5" t="s">
        <v>21</v>
      </c>
      <c r="G44" s="5" t="s">
        <v>21</v>
      </c>
    </row>
    <row r="45">
      <c r="A45" s="5" t="s">
        <v>101</v>
      </c>
      <c r="B45" s="6" t="s">
        <v>102</v>
      </c>
      <c r="C45" s="5">
        <v>1.0</v>
      </c>
      <c r="D45" s="5">
        <v>0.7</v>
      </c>
      <c r="E45" s="5">
        <v>0.1</v>
      </c>
      <c r="F45" s="5" t="s">
        <v>21</v>
      </c>
      <c r="G45" s="5" t="s">
        <v>21</v>
      </c>
    </row>
    <row r="46">
      <c r="A46" s="5" t="s">
        <v>103</v>
      </c>
      <c r="B46" s="6" t="s">
        <v>104</v>
      </c>
      <c r="C46" s="5">
        <v>2.5</v>
      </c>
      <c r="D46" s="5">
        <v>2.3</v>
      </c>
      <c r="E46" s="5">
        <v>0.2</v>
      </c>
      <c r="F46" s="5" t="s">
        <v>21</v>
      </c>
      <c r="G46" s="5" t="s">
        <v>21</v>
      </c>
    </row>
    <row r="47">
      <c r="A47" s="5" t="s">
        <v>105</v>
      </c>
      <c r="B47" s="6" t="s">
        <v>106</v>
      </c>
      <c r="C47" s="5">
        <v>10.0</v>
      </c>
      <c r="D47" s="5">
        <v>3.0</v>
      </c>
      <c r="E47" s="5">
        <v>1.0</v>
      </c>
      <c r="F47" s="5" t="s">
        <v>21</v>
      </c>
      <c r="G47" s="5" t="s">
        <v>21</v>
      </c>
    </row>
    <row r="48">
      <c r="A48" s="5" t="s">
        <v>107</v>
      </c>
      <c r="B48" s="6" t="s">
        <v>108</v>
      </c>
      <c r="C48" s="5">
        <v>5.0</v>
      </c>
      <c r="D48" s="5">
        <v>0.5</v>
      </c>
      <c r="E48" s="5">
        <v>0.0</v>
      </c>
      <c r="F48" s="5" t="s">
        <v>21</v>
      </c>
      <c r="G48" s="5" t="s">
        <v>21</v>
      </c>
    </row>
    <row r="49">
      <c r="A49" s="5" t="s">
        <v>109</v>
      </c>
      <c r="B49" s="6" t="s">
        <v>110</v>
      </c>
      <c r="C49" s="5">
        <v>3.0</v>
      </c>
      <c r="D49" s="5">
        <v>2.8</v>
      </c>
      <c r="E49" s="5">
        <v>0.2</v>
      </c>
      <c r="F49" s="5" t="s">
        <v>111</v>
      </c>
      <c r="G49" s="5" t="s">
        <v>111</v>
      </c>
    </row>
    <row r="50">
      <c r="A50" s="5" t="s">
        <v>112</v>
      </c>
      <c r="B50" s="6" t="s">
        <v>113</v>
      </c>
      <c r="C50" s="5">
        <v>4.0</v>
      </c>
      <c r="D50" s="5">
        <v>5.5</v>
      </c>
      <c r="E50" s="5">
        <v>1.0</v>
      </c>
      <c r="F50" s="5" t="s">
        <v>34</v>
      </c>
      <c r="G50" s="5" t="s">
        <v>34</v>
      </c>
    </row>
    <row r="51">
      <c r="A51" s="5" t="s">
        <v>114</v>
      </c>
      <c r="B51" s="6" t="s">
        <v>115</v>
      </c>
      <c r="C51" s="5">
        <v>3.0</v>
      </c>
      <c r="D51" s="5">
        <v>2.0</v>
      </c>
      <c r="E51" s="5">
        <v>0.2</v>
      </c>
      <c r="F51" s="5" t="s">
        <v>34</v>
      </c>
      <c r="G51" s="5" t="s">
        <v>34</v>
      </c>
    </row>
    <row r="52">
      <c r="A52" s="5" t="s">
        <v>116</v>
      </c>
      <c r="B52" s="6" t="s">
        <v>117</v>
      </c>
      <c r="C52" s="5">
        <v>2.0</v>
      </c>
      <c r="D52" s="5">
        <v>2.0</v>
      </c>
      <c r="E52" s="5">
        <v>0.0</v>
      </c>
      <c r="F52" s="5" t="s">
        <v>34</v>
      </c>
      <c r="G52" s="5" t="s">
        <v>34</v>
      </c>
    </row>
    <row r="53">
      <c r="B53" s="7" t="s">
        <v>75</v>
      </c>
      <c r="C53" s="5">
        <f t="shared" ref="C53:E53" si="2">SUM(C34:C52)</f>
        <v>71</v>
      </c>
      <c r="D53" s="10">
        <f t="shared" si="2"/>
        <v>58.75</v>
      </c>
      <c r="E53" s="10">
        <f t="shared" si="2"/>
        <v>9.5</v>
      </c>
    </row>
    <row r="55">
      <c r="A55" s="1" t="s">
        <v>118</v>
      </c>
      <c r="B55" s="2" t="s">
        <v>1</v>
      </c>
      <c r="C55" s="2" t="s">
        <v>2</v>
      </c>
      <c r="D55" s="2" t="s">
        <v>3</v>
      </c>
      <c r="E55" s="2" t="s">
        <v>4</v>
      </c>
      <c r="F55" s="3" t="s">
        <v>5</v>
      </c>
      <c r="G55" s="4" t="s">
        <v>6</v>
      </c>
    </row>
    <row r="56">
      <c r="A56" s="5" t="s">
        <v>119</v>
      </c>
      <c r="B56" s="6" t="s">
        <v>120</v>
      </c>
      <c r="C56" s="5">
        <v>40.0</v>
      </c>
      <c r="D56" s="5">
        <v>16.0</v>
      </c>
      <c r="E56" s="5">
        <v>4.0</v>
      </c>
      <c r="F56" s="11" t="s">
        <v>18</v>
      </c>
      <c r="G56" s="11" t="s">
        <v>18</v>
      </c>
    </row>
    <row r="57">
      <c r="A57" s="5" t="s">
        <v>121</v>
      </c>
      <c r="B57" s="6" t="s">
        <v>122</v>
      </c>
      <c r="C57" s="5">
        <v>1.0</v>
      </c>
      <c r="D57" s="5">
        <v>0.9</v>
      </c>
      <c r="E57" s="5">
        <v>0.0</v>
      </c>
      <c r="F57" s="5" t="s">
        <v>111</v>
      </c>
      <c r="G57" s="5" t="s">
        <v>111</v>
      </c>
    </row>
    <row r="58">
      <c r="A58" s="5" t="s">
        <v>123</v>
      </c>
      <c r="B58" s="6" t="s">
        <v>124</v>
      </c>
      <c r="C58" s="5">
        <v>1.5</v>
      </c>
      <c r="D58" s="5">
        <v>2.0</v>
      </c>
      <c r="E58" s="5">
        <v>0.25</v>
      </c>
      <c r="F58" s="5" t="s">
        <v>111</v>
      </c>
      <c r="G58" s="5" t="s">
        <v>111</v>
      </c>
    </row>
    <row r="59">
      <c r="A59" s="5" t="s">
        <v>125</v>
      </c>
      <c r="B59" s="6" t="s">
        <v>126</v>
      </c>
      <c r="C59" s="5">
        <v>2.5</v>
      </c>
      <c r="D59" s="5">
        <v>1.0</v>
      </c>
      <c r="E59" s="5">
        <v>2.0</v>
      </c>
      <c r="F59" s="5" t="s">
        <v>127</v>
      </c>
      <c r="G59" s="5" t="s">
        <v>127</v>
      </c>
    </row>
    <row r="60">
      <c r="A60" s="5" t="s">
        <v>128</v>
      </c>
      <c r="B60" s="6" t="s">
        <v>129</v>
      </c>
      <c r="C60" s="5">
        <v>0.5</v>
      </c>
      <c r="D60" s="5">
        <v>1.0</v>
      </c>
      <c r="E60" s="5">
        <v>1.0</v>
      </c>
      <c r="F60" s="5" t="s">
        <v>9</v>
      </c>
      <c r="G60" s="5" t="s">
        <v>34</v>
      </c>
    </row>
    <row r="61">
      <c r="A61" s="5" t="s">
        <v>130</v>
      </c>
      <c r="B61" s="6" t="s">
        <v>131</v>
      </c>
      <c r="C61" s="5">
        <v>2.0</v>
      </c>
      <c r="D61" s="5">
        <v>1.0</v>
      </c>
      <c r="E61" s="5">
        <v>2.0</v>
      </c>
      <c r="F61" s="5" t="s">
        <v>127</v>
      </c>
      <c r="G61" s="5" t="s">
        <v>127</v>
      </c>
    </row>
    <row r="62">
      <c r="A62" s="5" t="s">
        <v>132</v>
      </c>
      <c r="B62" s="6" t="s">
        <v>133</v>
      </c>
      <c r="C62" s="5">
        <v>6.0</v>
      </c>
      <c r="D62" s="5">
        <v>2.0</v>
      </c>
      <c r="E62" s="5">
        <v>0.0</v>
      </c>
      <c r="F62" s="5" t="s">
        <v>21</v>
      </c>
      <c r="G62" s="5" t="s">
        <v>21</v>
      </c>
    </row>
    <row r="63">
      <c r="A63" s="5" t="s">
        <v>134</v>
      </c>
      <c r="B63" s="6" t="s">
        <v>135</v>
      </c>
      <c r="C63" s="5">
        <v>5.0</v>
      </c>
      <c r="D63" s="5">
        <v>0.5</v>
      </c>
      <c r="E63" s="5">
        <v>0.0</v>
      </c>
      <c r="F63" s="5" t="s">
        <v>21</v>
      </c>
      <c r="G63" s="5" t="s">
        <v>21</v>
      </c>
    </row>
    <row r="64">
      <c r="A64" s="5" t="s">
        <v>136</v>
      </c>
      <c r="B64" s="6" t="s">
        <v>137</v>
      </c>
      <c r="C64" s="5">
        <v>0.5</v>
      </c>
      <c r="D64" s="5">
        <v>0.1</v>
      </c>
      <c r="E64" s="5">
        <v>0.0</v>
      </c>
      <c r="F64" s="5" t="s">
        <v>21</v>
      </c>
      <c r="G64" s="5" t="s">
        <v>21</v>
      </c>
    </row>
    <row r="65">
      <c r="A65" s="5" t="s">
        <v>138</v>
      </c>
      <c r="B65" s="6" t="s">
        <v>139</v>
      </c>
      <c r="C65" s="5">
        <v>12.0</v>
      </c>
      <c r="D65" s="5">
        <v>12.3</v>
      </c>
      <c r="E65" s="5">
        <v>1.0</v>
      </c>
      <c r="F65" s="5" t="s">
        <v>21</v>
      </c>
      <c r="G65" s="5" t="s">
        <v>21</v>
      </c>
    </row>
    <row r="66">
      <c r="A66" s="5" t="s">
        <v>140</v>
      </c>
      <c r="B66" s="6" t="s">
        <v>141</v>
      </c>
      <c r="C66" s="5">
        <v>2.0</v>
      </c>
      <c r="D66" s="5">
        <v>2.5</v>
      </c>
      <c r="E66" s="5">
        <v>0.2</v>
      </c>
      <c r="F66" s="5" t="s">
        <v>92</v>
      </c>
      <c r="G66" s="5" t="s">
        <v>21</v>
      </c>
    </row>
    <row r="67">
      <c r="A67" s="5" t="s">
        <v>142</v>
      </c>
      <c r="B67" s="6" t="s">
        <v>143</v>
      </c>
      <c r="C67" s="5">
        <v>6.0</v>
      </c>
      <c r="D67" s="5">
        <v>3.0</v>
      </c>
      <c r="E67" s="5">
        <v>0.3</v>
      </c>
      <c r="F67" s="5" t="s">
        <v>34</v>
      </c>
      <c r="G67" s="5" t="s">
        <v>34</v>
      </c>
    </row>
    <row r="68">
      <c r="A68" s="5" t="s">
        <v>144</v>
      </c>
      <c r="B68" s="6" t="s">
        <v>145</v>
      </c>
      <c r="C68" s="5">
        <v>10.0</v>
      </c>
      <c r="D68" s="5">
        <v>13.0</v>
      </c>
      <c r="E68" s="5">
        <v>1.0</v>
      </c>
      <c r="F68" s="5" t="s">
        <v>34</v>
      </c>
      <c r="G68" s="5" t="s">
        <v>34</v>
      </c>
    </row>
    <row r="69">
      <c r="A69" s="5" t="s">
        <v>146</v>
      </c>
      <c r="B69" s="6" t="s">
        <v>147</v>
      </c>
      <c r="C69" s="5">
        <v>2.0</v>
      </c>
      <c r="D69" s="5">
        <v>1.0</v>
      </c>
      <c r="E69" s="5">
        <v>0.0</v>
      </c>
      <c r="F69" s="5" t="s">
        <v>34</v>
      </c>
      <c r="G69" s="5" t="s">
        <v>34</v>
      </c>
    </row>
    <row r="70">
      <c r="A70" s="5" t="s">
        <v>148</v>
      </c>
      <c r="B70" s="6" t="s">
        <v>149</v>
      </c>
      <c r="C70" s="5">
        <v>2.0</v>
      </c>
      <c r="D70" s="5">
        <v>1.0</v>
      </c>
      <c r="E70" s="5">
        <v>0.0</v>
      </c>
      <c r="F70" s="5" t="s">
        <v>34</v>
      </c>
      <c r="G70" s="5" t="s">
        <v>34</v>
      </c>
    </row>
    <row r="71">
      <c r="A71" s="5" t="s">
        <v>150</v>
      </c>
      <c r="B71" s="6" t="s">
        <v>151</v>
      </c>
      <c r="C71" s="5">
        <v>1.5</v>
      </c>
      <c r="D71" s="5">
        <v>0.5</v>
      </c>
      <c r="E71" s="5">
        <v>0.0</v>
      </c>
      <c r="F71" s="5" t="s">
        <v>34</v>
      </c>
      <c r="G71" s="5" t="s">
        <v>34</v>
      </c>
    </row>
    <row r="72">
      <c r="A72" s="5" t="s">
        <v>152</v>
      </c>
      <c r="B72" s="6" t="s">
        <v>153</v>
      </c>
      <c r="C72" s="5">
        <v>1.0</v>
      </c>
      <c r="D72" s="5">
        <v>1.5</v>
      </c>
      <c r="E72" s="5">
        <v>0.2</v>
      </c>
      <c r="F72" s="5" t="s">
        <v>34</v>
      </c>
      <c r="G72" s="5" t="s">
        <v>34</v>
      </c>
    </row>
    <row r="73">
      <c r="A73" s="5"/>
      <c r="B73" s="7" t="s">
        <v>75</v>
      </c>
      <c r="C73" s="5">
        <f t="shared" ref="C73:E73" si="3">SUM(C56:C72)</f>
        <v>95.5</v>
      </c>
      <c r="D73" s="10">
        <f t="shared" si="3"/>
        <v>59.3</v>
      </c>
      <c r="E73" s="10">
        <f t="shared" si="3"/>
        <v>11.95</v>
      </c>
    </row>
    <row r="77">
      <c r="B77" s="7" t="s">
        <v>154</v>
      </c>
      <c r="C77" s="10">
        <f t="shared" ref="C77:E77" si="4">SUM(C31,C53,C73)</f>
        <v>276.95</v>
      </c>
      <c r="D77" s="10">
        <f t="shared" si="4"/>
        <v>178.61</v>
      </c>
      <c r="E77" s="10">
        <f t="shared" si="4"/>
        <v>42.28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6"/>
    <hyperlink r:id="rId50" ref="B57"/>
    <hyperlink r:id="rId51" ref="B58"/>
    <hyperlink r:id="rId52" ref="B59"/>
    <hyperlink r:id="rId53" ref="B60"/>
    <hyperlink r:id="rId54" ref="B61"/>
    <hyperlink r:id="rId55" ref="B62"/>
    <hyperlink r:id="rId56" ref="B63"/>
    <hyperlink r:id="rId57" ref="B64"/>
    <hyperlink r:id="rId58" ref="B65"/>
    <hyperlink r:id="rId59" ref="B66"/>
    <hyperlink r:id="rId60" ref="B67"/>
    <hyperlink r:id="rId61" ref="B68"/>
    <hyperlink r:id="rId62" ref="B69"/>
    <hyperlink r:id="rId63" ref="B70"/>
    <hyperlink r:id="rId64" ref="B71"/>
    <hyperlink r:id="rId65" ref="B72"/>
  </hyperlinks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44.13"/>
    <col customWidth="1" min="3" max="4" width="67.38"/>
  </cols>
  <sheetData>
    <row r="1">
      <c r="A1" s="12" t="s">
        <v>155</v>
      </c>
      <c r="B1" s="12" t="s">
        <v>156</v>
      </c>
      <c r="C1" s="12" t="s">
        <v>157</v>
      </c>
      <c r="D1" s="12" t="s">
        <v>158</v>
      </c>
    </row>
    <row r="2">
      <c r="A2" s="5" t="s">
        <v>34</v>
      </c>
      <c r="B2" s="5">
        <v>48.0</v>
      </c>
      <c r="C2" s="5" t="s">
        <v>159</v>
      </c>
      <c r="D2" s="5" t="s">
        <v>159</v>
      </c>
    </row>
    <row r="3">
      <c r="A3" s="5" t="s">
        <v>111</v>
      </c>
      <c r="B3" s="5">
        <v>30.0</v>
      </c>
      <c r="C3" s="5" t="s">
        <v>160</v>
      </c>
      <c r="D3" s="5" t="s">
        <v>161</v>
      </c>
    </row>
    <row r="4">
      <c r="A4" s="5" t="s">
        <v>18</v>
      </c>
      <c r="B4" s="5">
        <f>SUM(3+3+9+9+3+3+3+3)</f>
        <v>36</v>
      </c>
      <c r="C4" s="5" t="s">
        <v>162</v>
      </c>
      <c r="D4" s="5" t="s">
        <v>162</v>
      </c>
    </row>
    <row r="5">
      <c r="A5" s="5" t="s">
        <v>127</v>
      </c>
      <c r="B5" s="5">
        <v>72.0</v>
      </c>
      <c r="C5" s="5" t="s">
        <v>163</v>
      </c>
      <c r="D5" s="5" t="s">
        <v>163</v>
      </c>
    </row>
    <row r="6">
      <c r="A6" s="5" t="s">
        <v>21</v>
      </c>
      <c r="B6" s="5">
        <v>10.5</v>
      </c>
      <c r="C6" s="5" t="s">
        <v>164</v>
      </c>
      <c r="D6" s="5" t="s">
        <v>165</v>
      </c>
    </row>
  </sheetData>
  <drawing r:id="rId1"/>
</worksheet>
</file>